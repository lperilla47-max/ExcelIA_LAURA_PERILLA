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de Ventas" sheetId="1" state="visible" r:id="rId3"/>
    <sheet name="Pronóstico IA" sheetId="2" state="visible" r:id="rId4"/>
    <sheet name="Gráficos y Análisis" sheetId="3" state="visible" r:id="rId5"/>
    <sheet name="Resumen Trimestral" sheetId="4" state="visible" r:id="rId6"/>
    <sheet name="Documentaci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<sst xmlns="http://schemas.openxmlformats.org/spreadsheetml/2006/main" count="106" uniqueCount="92">
  <si>
    <t xml:space="preserve">📊 Análisis de Ventas Mensuales 2024 – Proyecto Excel con IA</t>
  </si>
  <si>
    <t xml:space="preserve">Pregunta clave: ¿En qué mes se proyectan mayores ventas y cuál es la tendencia del año?</t>
  </si>
  <si>
    <t xml:space="preserve">Mes</t>
  </si>
  <si>
    <t xml:space="preserve">Ventas Reales ($)</t>
  </si>
  <si>
    <t xml:space="preserve">Meta ($)</t>
  </si>
  <si>
    <t xml:space="preserve">Costo ($)</t>
  </si>
  <si>
    <t xml:space="preserve">Utilidad ($)</t>
  </si>
  <si>
    <t xml:space="preserve">% Cumplimiento</t>
  </si>
  <si>
    <t xml:space="preserve">% Margen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</si>
  <si>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</si>
  <si>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</si>
  <si>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</si>
  <si>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</si>
  <si>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</si>
  <si>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</si>
  <si>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</si>
  <si>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</si>
  <si>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</si>
  <si>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</si>
  <si>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</si>
  <si>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</si>
  <si>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ANUAL</t>
  </si>
  <si>
    <t xml:space="preserve">📌 Indicadores Clave (KPIs)</t>
  </si>
  <si>
    <t xml:space="preserve">Mes con Mayor Venta</t>
  </si>
  <si>
    <t xml:space="preserve">Mes con Menor Venta</t>
  </si>
  <si>
    <t xml:space="preserve">Promedio Mensual ($)</t>
  </si>
  <si>
    <t xml:space="preserve">Mejor % Cumplimiento</t>
  </si>
  <si>
    <t xml:space="preserve">Mejor % Margen</t>
  </si>
  <si>
    <t xml:space="preserve">🤖 Pronóstico con IA – Función FORECAST.ETS (Excel)</t>
  </si>
  <si>
    <t xml:space="preserve">Esta hoja usa FORECAST.ETS — la función de IA de Excel basada en suavización exponencial para detectar tendencia y estacionalidad.</t>
  </si>
  <si>
    <t xml:space="preserve">Período</t>
  </si>
  <si>
    <t xml:space="preserve">Pronóstico IA ($)</t>
  </si>
  <si>
    <t xml:space="preserve">Límite Inferior ($)</t>
  </si>
  <si>
    <t xml:space="preserve">Límite Superior ($)</t>
  </si>
  <si>
    <t xml:space="preserve">Enero 2025</t>
  </si>
  <si>
    <t xml:space="preserve">Febrero 2025</t>
  </si>
  <si>
    <t xml:space="preserve">Marzo 2025</t>
  </si>
  <si>
    <t xml:space="preserve">Abril 2025</t>
  </si>
  <si>
    <t xml:space="preserve">📈 Visualizaciones del Análisis de Ventas</t>
  </si>
  <si>
    <t xml:space="preserve">Los gráficos fueron generados con las funciones de Ideas y gráficos automáticos de Excel</t>
  </si>
  <si>
    <t xml:space="preserve">📋 Resumen Trimestral – Tabla Dinámica</t>
  </si>
  <si>
    <t xml:space="preserve">Análisis por trimestre para identificar estacionalidad</t>
  </si>
  <si>
    <t xml:space="preserve">Trimestre</t>
  </si>
  <si>
    <t xml:space="preserve">Meses</t>
  </si>
  <si>
    <t xml:space="preserve">Ventas Totales ($)</t>
  </si>
  <si>
    <t xml:space="preserve">Utilidad Total ($)</t>
  </si>
  <si>
    <t xml:space="preserve">% Margen Prom.</t>
  </si>
  <si>
    <t xml:space="preserve">Q1 – Ene/Feb/Mar</t>
  </si>
  <si>
    <t xml:space="preserve">Enero, Febrero, Marzo</t>
  </si>
  <si>
    <t xml:space="preserve">Q2 – Abr/May/Jun</t>
  </si>
  <si>
    <t xml:space="preserve">Abril, Mayo, Junio</t>
  </si>
  <si>
    <t xml:space="preserve">Q3 – Jul/Ago/Sep</t>
  </si>
  <si>
    <t xml:space="preserve">Julio, Agosto, Septiembre</t>
  </si>
  <si>
    <t xml:space="preserve">Q4 – Oct/Nov/Dic</t>
  </si>
  <si>
    <t xml:space="preserve">Octubre, Noviembre, Diciembre</t>
  </si>
  <si>
    <t xml:space="preserve">TOTAL AÑO</t>
  </si>
  <si>
    <t xml:space="preserve">Todos los meses</t>
  </si>
  <si>
    <t xml:space="preserve">📝 Documentación del Proyecto – Domina Excel con IA</t>
  </si>
  <si>
    <t xml:space="preserve">🎯 Tema Elegido</t>
  </si>
  <si>
    <t xml:space="preserve">Análisis de Ventas Mensuales 2024</t>
  </si>
  <si>
    <t xml:space="preserve">Se analizan las ventas reales de una empresa durante 12 meses, comparando con metas establecidas y proyectando el comportamiento para los primeros meses de 2025.</t>
  </si>
  <si>
    <t xml:space="preserve">❓ Pregunta Clave</t>
  </si>
  <si>
    <t xml:space="preserve">¿En qué mes se proyectan mayores ventas y cuál es la tendencia del año?</t>
  </si>
  <si>
    <t xml:space="preserve">Respuesta: Según el pronóstico de IA (FORECAST.ETS), los meses de enero-abril 2025 muestran una tendencia creciente con base en la estacionalidad detectada.</t>
  </si>
  <si>
    <t xml:space="preserve">📂 Fuente de Datos</t>
  </si>
  <si>
    <t xml:space="preserve">Datos simulados que representan un modelo de ventas realista.</t>
  </si>
  <si>
    <t xml:space="preserve">La estructura sigue el patrón de una empresa mediana con estacionalidad en Q4.</t>
  </si>
  <si>
    <t xml:space="preserve">Formato: Tabla Excel con 12 filas (una por mes) y 7 columnas de indicadores.</t>
  </si>
  <si>
    <t xml:space="preserve">🤖 Herramientas de IA Usadas</t>
  </si>
  <si>
    <t xml:space="preserve">1. FORECAST.ETS: Función nativa de Excel basada en algoritmos de suavización exponencial (AAA-ETS). Detecta tendencia y estacionalidad automáticamente.</t>
  </si>
  <si>
    <t xml:space="preserve">2. FORECAST.ETS.CONFINT: Calcula el intervalo de confianza al 95% del pronóstico.</t>
  </si>
  <si>
    <t xml:space="preserve">3. IDEAS DE EXCEL: Función de análisis automático (pestaña Inicio → Ideas) que sugiere gráficos y patrones relevantes.</t>
  </si>
  <si>
    <t xml:space="preserve">4. INDEX + MATCH: Para identificar automáticamente el mes con mayor y menor venta.</t>
  </si>
  <si>
    <t xml:space="preserve">5. Gráficos automáticos sugeridos por Excel al seleccionar los datos.</t>
  </si>
  <si>
    <t xml:space="preserve">📊 Visualizaciones Generadas</t>
  </si>
  <si>
    <t xml:space="preserve">1. Gráfico de barras agrupadas: Ventas Reales vs Meta mensual (Hoja 'Gráficos y Análisis').</t>
  </si>
  <si>
    <t xml:space="preserve">2. Gráfico de línea: Evolución de la Utilidad mensual.</t>
  </si>
  <si>
    <t xml:space="preserve">3. Gráfico de pastel: Distribución de ventas por trimestre (Hoja 'Resumen Trimestral').</t>
  </si>
  <si>
    <t xml:space="preserve">4. Tabla dinámica manual con resumen por trimestre.</t>
  </si>
  <si>
    <t xml:space="preserve">💡 Conclusiones del Análisis</t>
  </si>
  <si>
    <t xml:space="preserve">1. El Q4 (Oct-Dic) concentra las mayores ventas, representando aproximadamente el 35% del total anual.</t>
  </si>
  <si>
    <t xml:space="preserve">2. Diciembre es el mes de mayor venta ($95,300) superando la meta en un 5.9%.</t>
  </si>
  <si>
    <t xml:space="preserve">3. Febrero registra la menor venta ($38,700), por debajo de la meta en 14%.</t>
  </si>
  <si>
    <t xml:space="preserve">4. El margen de utilidad promedio anual es del 31%, manteniéndose estable.</t>
  </si>
  <si>
    <t xml:space="preserve">5. El pronóstico de IA indica que la tendencia al alza continuará en 2025.</t>
  </si>
  <si>
    <t xml:space="preserve">6. El modelo de IA detectó estacionalidad positiva en los últimos meses del año.</t>
  </si>
  <si>
    <t xml:space="preserve">🛠️ Instrucciones de Uso</t>
  </si>
  <si>
    <t xml:space="preserve">1. Abrir el archivo en Microsoft Excel 365 o Excel 2019+.</t>
  </si>
  <si>
    <t xml:space="preserve">2. Si aparece aviso de seguridad, habilitar edición y contenido.</t>
  </si>
  <si>
    <t xml:space="preserve">3. Los pronósticos en la hoja 'Pronóstico IA' se calculan automáticamente con FORECAST.ETS.</t>
  </si>
  <si>
    <t xml:space="preserve">4. Para ver 'Ideas de Excel': seleccionar los datos en 'Datos de Ventas' → pestaña Inicio → Ideas.</t>
  </si>
  <si>
    <t xml:space="preserve">5. Los KPIs en la hoja principal se actualizan automáticamente al cambiar los datos.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</si>
</sst>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3747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7B1FA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37474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897B"/>
        <bgColor rgb="FF008080"/>
      </patternFill>
    </fill>
    <fill>
      <patternFill patternType="solid">
        <fgColor rgb="FFE0F2F1"/>
        <bgColor rgb="FFE8F5E9"/>
      </patternFill>
    </fill>
    <fill>
      <patternFill patternType="solid">
        <fgColor rgb="FFFAFAFA"/>
        <bgColor rgb="FFF9F9F9"/>
      </patternFill>
    </fill>
    <fill>
      <patternFill patternType="solid">
        <fgColor rgb="FF7B1FA2"/>
        <bgColor rgb="FF800080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0F2F1"/>
      </patternFill>
    </fill>
    <fill>
      <patternFill patternType="solid">
        <fgColor rgb="FFFFF9C4"/>
        <bgColor rgb="FFF9F9F9"/>
      </patternFill>
    </fill>
    <fill>
      <patternFill patternType="solid">
        <fgColor rgb="FFFCE4EC"/>
        <bgColor rgb="FFF3E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7B1FA2"/>
      <rgbColor rgb="FF00897B"/>
      <rgbColor rgb="FFB0BEC5"/>
      <rgbColor rgb="FF878787"/>
      <rgbColor rgb="FF9999FF"/>
      <rgbColor rgb="FFC0504D"/>
      <rgbColor rgb="FFFFF9C4"/>
      <rgbColor rgb="FFE0F2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9F9F9"/>
      <rgbColor rgb="FFFAFAFA"/>
      <rgbColor rgb="FFF3E5F5"/>
      <rgbColor rgb="FFFF99CC"/>
      <rgbColor rgb="FFCC99FF"/>
      <rgbColor rgb="FFFCE4EC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Reales vs Meta Mensual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'Datos de Ventas'!B4</c:f>
              <c:strCache>
                <c:ptCount val="1"/>
                <c:pt idx="0">
                  <c:v>Ventas Reales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de Ventas'!$A$5:$A$16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de Ventas'!$B$5:$B$16</c:f>
              <c:numCache>
                <c:formatCode>\$#,##0</c:formatCode>
                <c:ptCount val="12"/>
                <c:pt idx="0">
                  <c:v>42500</c:v>
                </c:pt>
                <c:pt idx="1">
                  <c:v>38700</c:v>
                </c:pt>
                <c:pt idx="2">
                  <c:v>51200</c:v>
                </c:pt>
                <c:pt idx="3">
                  <c:v>47800</c:v>
                </c:pt>
                <c:pt idx="4">
                  <c:v>55300</c:v>
                </c:pt>
                <c:pt idx="5">
                  <c:v>61400</c:v>
                </c:pt>
                <c:pt idx="6">
                  <c:v>58900</c:v>
                </c:pt>
                <c:pt idx="7">
                  <c:v>63200</c:v>
                </c:pt>
                <c:pt idx="8">
                  <c:v>67800</c:v>
                </c:pt>
                <c:pt idx="9">
                  <c:v>72100</c:v>
                </c:pt>
                <c:pt idx="10">
                  <c:v>81500</c:v>
                </c:pt>
                <c:pt idx="11">
                  <c:v>95300</c:v>
                </c:pt>
              </c:numCache>
            </c:numRef>
          </c:val>
        </c:ser>
        <c:ser>
          <c:idx val="1"/>
          <c:order val="1"/>
          <c:tx>
            <c:strRef>
              <c:f>'Datos de Ventas'!C4</c:f>
              <c:strCache>
                <c:ptCount val="1"/>
                <c:pt idx="0">
                  <c:v>Meta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de Ventas'!$A$5:$A$16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de Ventas'!$C$5:$C$16</c:f>
              <c:numCache>
                <c:formatCode>\$#,##0</c:formatCode>
                <c:ptCount val="12"/>
                <c:pt idx="0">
                  <c:v>45000</c:v>
                </c:pt>
                <c:pt idx="1">
                  <c:v>45000</c:v>
                </c:pt>
                <c:pt idx="2">
                  <c:v>50000</c:v>
                </c:pt>
                <c:pt idx="3">
                  <c:v>50000</c:v>
                </c:pt>
                <c:pt idx="4">
                  <c:v>55000</c:v>
                </c:pt>
                <c:pt idx="5">
                  <c:v>60000</c:v>
                </c:pt>
                <c:pt idx="6">
                  <c:v>60000</c:v>
                </c:pt>
                <c:pt idx="7">
                  <c:v>65000</c:v>
                </c:pt>
                <c:pt idx="8">
                  <c:v>70000</c:v>
                </c:pt>
                <c:pt idx="9">
                  <c:v>75000</c:v>
                </c:pt>
                <c:pt idx="10">
                  <c:v>80000</c:v>
                </c:pt>
                <c:pt idx="11">
                  <c:v>90000</c:v>
                </c:pt>
              </c:numCache>
            </c:numRef>
          </c:val>
        </c:ser>
        <c:gapWidth val="150"/>
        <c:overlap val="0"/>
        <c:axId val="61938852"/>
        <c:axId val="72003225"/>
      </c:barChart>
      <c:catAx>
        <c:axId val="619388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03225"/>
        <c:crosses val="autoZero"/>
        <c:auto val="1"/>
        <c:lblAlgn val="ctr"/>
        <c:lblOffset val="100"/>
        <c:noMultiLvlLbl val="0"/>
      </c:catAx>
      <c:valAx>
        <c:axId val="72003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38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 la Utilidad Mensual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de Ventas'!E4</c:f>
              <c:strCache>
                <c:ptCount val="1"/>
                <c:pt idx="0">
                  <c:v>Utilidad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de Ventas'!$A$5:$A$16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de Ventas'!$E$5:$E$16</c:f>
              <c:numCache>
                <c:formatCode>\$#,##0</c:formatCode>
                <c:ptCount val="12"/>
                <c:pt idx="0">
                  <c:v>13600</c:v>
                </c:pt>
                <c:pt idx="1">
                  <c:v>12300</c:v>
                </c:pt>
                <c:pt idx="2">
                  <c:v>16400</c:v>
                </c:pt>
                <c:pt idx="3">
                  <c:v>15300</c:v>
                </c:pt>
                <c:pt idx="4">
                  <c:v>17700</c:v>
                </c:pt>
                <c:pt idx="5">
                  <c:v>19600</c:v>
                </c:pt>
                <c:pt idx="6">
                  <c:v>18800</c:v>
                </c:pt>
                <c:pt idx="7">
                  <c:v>20200</c:v>
                </c:pt>
                <c:pt idx="8">
                  <c:v>21600</c:v>
                </c:pt>
                <c:pt idx="9">
                  <c:v>23000</c:v>
                </c:pt>
                <c:pt idx="10">
                  <c:v>26000</c:v>
                </c:pt>
                <c:pt idx="11">
                  <c:v>30400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638439"/>
        <c:axId val="53382345"/>
      </c:lineChart>
      <c:catAx>
        <c:axId val="63638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82345"/>
        <c:crosses val="autoZero"/>
        <c:auto val="1"/>
        <c:lblAlgn val="ctr"/>
        <c:lblOffset val="100"/>
        <c:noMultiLvlLbl val="0"/>
      </c:catAx>
      <c:valAx>
        <c:axId val="533823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Utilidad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38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Ventas por Trimestre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'Resumen Trimestral'!C4</c:f>
              <c:strCache>
                <c:ptCount val="1"/>
                <c:pt idx="0">
                  <c:v>Ventas Totales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'Resumen Trimestral'!$A$5:$A$8</c:f>
              <c:strCache>
                <c:ptCount val="4"/>
                <c:pt idx="0">
                  <c:v>Q1 – Ene/Feb/Mar</c:v>
                </c:pt>
                <c:pt idx="1">
                  <c:v>Q2 – Abr/May/Jun</c:v>
                </c:pt>
                <c:pt idx="2">
                  <c:v>Q3 – Jul/Ago/Sep</c:v>
                </c:pt>
                <c:pt idx="3">
                  <c:v>Q4 – Oct/Nov/Dic</c:v>
                </c:pt>
              </c:strCache>
            </c:strRef>
          </c:cat>
          <c:val>
            <c:numRef>
              <c:f>'Resumen Trimestral'!$C$5:$C$8</c:f>
              <c:numCache>
                <c:formatCode>\$#,##0</c:formatCode>
                <c:ptCount val="4"/>
                <c:pt idx="0">
                  <c:v>132400</c:v>
                </c:pt>
                <c:pt idx="1">
                  <c:v>164500</c:v>
                </c:pt>
                <c:pt idx="2">
                  <c:v>189900</c:v>
                </c:pt>
                <c:pt idx="3">
                  <c:v>248900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11</xdr:col>
      <xdr:colOff>473040</xdr:colOff>
      <xdr:row>25</xdr:row>
      <xdr:rowOff>128880</xdr:rowOff>
    </xdr:to>
    <xdr:graphicFrame>
      <xdr:nvGraphicFramePr>
        <xdr:cNvPr id="0" name="Chart 1"/>
        <xdr:cNvGraphicFramePr/>
      </xdr:nvGraphicFramePr>
      <xdr:xfrm>
        <a:off x="0" y="7812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11</xdr:col>
      <xdr:colOff>473040</xdr:colOff>
      <xdr:row>47</xdr:row>
      <xdr:rowOff>128520</xdr:rowOff>
    </xdr:to>
    <xdr:graphicFrame>
      <xdr:nvGraphicFramePr>
        <xdr:cNvPr id="1" name="Chart 2"/>
        <xdr:cNvGraphicFramePr/>
      </xdr:nvGraphicFramePr>
      <xdr:xfrm>
        <a:off x="0" y="4971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3</xdr:col>
      <xdr:colOff>1263600</xdr:colOff>
      <xdr:row>33</xdr:row>
      <xdr:rowOff>128880</xdr:rowOff>
    </xdr:to>
    <xdr:graphicFrame>
      <xdr:nvGraphicFramePr>
        <xdr:cNvPr id="2" name="Chart 1"/>
        <xdr:cNvGraphicFramePr/>
      </xdr:nvGraphicFramePr>
      <xdr:xfrm>
        <a:off x="0" y="23623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8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42500</v>
      </c>
      <c r="C5" s="5" t="n">
        <v>45000</v>
      </c>
      <c r="D5" s="5" t="n">
        <v>28900</v>
      </c>
      <c r="E5" s="5" t="n">
        <f aca="false">B5-D5</f>
        <v>13600</v>
      </c>
      <c r="F5" s="6" t="n">
        <f aca="false">B5/C5</f>
        <v>0.944444444444444</v>
      </c>
      <c r="G5" s="6" t="n">
        <f aca="false">E5/B5</f>
        <v>0.32</v>
      </c>
    </row>
    <row r="6" customFormat="false" ht="15" hidden="false" customHeight="false" outlineLevel="0" collapsed="false">
      <c r="A6" s="7" t="s">
        <v>10</v>
      </c>
      <c r="B6" s="8" t="n">
        <v>38700</v>
      </c>
      <c r="C6" s="8" t="n">
        <v>45000</v>
      </c>
      <c r="D6" s="8" t="n">
        <v>26400</v>
      </c>
      <c r="E6" s="8" t="n">
        <f aca="false">B6-D6</f>
        <v>12300</v>
      </c>
      <c r="F6" s="9" t="n">
        <f aca="false">B6/C6</f>
        <v>0.86</v>
      </c>
      <c r="G6" s="9" t="n">
        <f aca="false">E6/B6</f>
        <v>0.317829457364341</v>
      </c>
    </row>
    <row r="7" customFormat="false" ht="15" hidden="false" customHeight="false" outlineLevel="0" collapsed="false">
      <c r="A7" s="4" t="s">
        <v>11</v>
      </c>
      <c r="B7" s="5" t="n">
        <v>51200</v>
      </c>
      <c r="C7" s="5" t="n">
        <v>50000</v>
      </c>
      <c r="D7" s="5" t="n">
        <v>34800</v>
      </c>
      <c r="E7" s="5" t="n">
        <f aca="false">B7-D7</f>
        <v>16400</v>
      </c>
      <c r="F7" s="6" t="n">
        <f aca="false">B7/C7</f>
        <v>1.024</v>
      </c>
      <c r="G7" s="6" t="n">
        <f aca="false">E7/B7</f>
        <v>0.3203125</v>
      </c>
    </row>
    <row r="8" customFormat="false" ht="15" hidden="false" customHeight="false" outlineLevel="0" collapsed="false">
      <c r="A8" s="7" t="s">
        <v>12</v>
      </c>
      <c r="B8" s="8" t="n">
        <v>47800</v>
      </c>
      <c r="C8" s="8" t="n">
        <v>50000</v>
      </c>
      <c r="D8" s="8" t="n">
        <v>32500</v>
      </c>
      <c r="E8" s="8" t="n">
        <f aca="false">B8-D8</f>
        <v>15300</v>
      </c>
      <c r="F8" s="9" t="n">
        <f aca="false">B8/C8</f>
        <v>0.956</v>
      </c>
      <c r="G8" s="9" t="n">
        <f aca="false">E8/B8</f>
        <v>0.320083682008368</v>
      </c>
    </row>
    <row r="9" customFormat="false" ht="15" hidden="false" customHeight="false" outlineLevel="0" collapsed="false">
      <c r="A9" s="4" t="s">
        <v>13</v>
      </c>
      <c r="B9" s="5" t="n">
        <v>55300</v>
      </c>
      <c r="C9" s="5" t="n">
        <v>55000</v>
      </c>
      <c r="D9" s="5" t="n">
        <v>37600</v>
      </c>
      <c r="E9" s="5" t="n">
        <f aca="false">B9-D9</f>
        <v>17700</v>
      </c>
      <c r="F9" s="6" t="n">
        <f aca="false">B9/C9</f>
        <v>1.00545454545455</v>
      </c>
      <c r="G9" s="6" t="n">
        <f aca="false">E9/B9</f>
        <v>0.320072332730561</v>
      </c>
    </row>
    <row r="10" customFormat="false" ht="15" hidden="false" customHeight="false" outlineLevel="0" collapsed="false">
      <c r="A10" s="7" t="s">
        <v>14</v>
      </c>
      <c r="B10" s="8" t="n">
        <v>61400</v>
      </c>
      <c r="C10" s="8" t="n">
        <v>60000</v>
      </c>
      <c r="D10" s="8" t="n">
        <v>41800</v>
      </c>
      <c r="E10" s="8" t="n">
        <f aca="false">B10-D10</f>
        <v>19600</v>
      </c>
      <c r="F10" s="9" t="n">
        <f aca="false">B10/C10</f>
        <v>1.02333333333333</v>
      </c>
      <c r="G10" s="9" t="n">
        <f aca="false">E10/B10</f>
        <v>0.319218241042345</v>
      </c>
    </row>
    <row r="11" customFormat="false" ht="15" hidden="false" customHeight="false" outlineLevel="0" collapsed="false">
      <c r="A11" s="4" t="s">
        <v>15</v>
      </c>
      <c r="B11" s="5" t="n">
        <v>58900</v>
      </c>
      <c r="C11" s="5" t="n">
        <v>60000</v>
      </c>
      <c r="D11" s="5" t="n">
        <v>40100</v>
      </c>
      <c r="E11" s="5" t="n">
        <f aca="false">B11-D11</f>
        <v>18800</v>
      </c>
      <c r="F11" s="6" t="n">
        <f aca="false">B11/C11</f>
        <v>0.981666666666667</v>
      </c>
      <c r="G11" s="6" t="n">
        <f aca="false">E11/B11</f>
        <v>0.31918505942275</v>
      </c>
    </row>
    <row r="12" customFormat="false" ht="15" hidden="false" customHeight="false" outlineLevel="0" collapsed="false">
      <c r="A12" s="7" t="s">
        <v>16</v>
      </c>
      <c r="B12" s="8" t="n">
        <v>63200</v>
      </c>
      <c r="C12" s="8" t="n">
        <v>65000</v>
      </c>
      <c r="D12" s="8" t="n">
        <v>43000</v>
      </c>
      <c r="E12" s="8" t="n">
        <f aca="false">B12-D12</f>
        <v>20200</v>
      </c>
      <c r="F12" s="9" t="n">
        <f aca="false">B12/C12</f>
        <v>0.972307692307692</v>
      </c>
      <c r="G12" s="9" t="n">
        <f aca="false">E12/B12</f>
        <v>0.319620253164557</v>
      </c>
    </row>
    <row r="13" customFormat="false" ht="15" hidden="false" customHeight="false" outlineLevel="0" collapsed="false">
      <c r="A13" s="4" t="s">
        <v>17</v>
      </c>
      <c r="B13" s="5" t="n">
        <v>67800</v>
      </c>
      <c r="C13" s="5" t="n">
        <v>70000</v>
      </c>
      <c r="D13" s="5" t="n">
        <v>46200</v>
      </c>
      <c r="E13" s="5" t="n">
        <f aca="false">B13-D13</f>
        <v>21600</v>
      </c>
      <c r="F13" s="6" t="n">
        <f aca="false">B13/C13</f>
        <v>0.968571428571429</v>
      </c>
      <c r="G13" s="6" t="n">
        <f aca="false">E13/B13</f>
        <v>0.31858407079646</v>
      </c>
    </row>
    <row r="14" customFormat="false" ht="15" hidden="false" customHeight="false" outlineLevel="0" collapsed="false">
      <c r="A14" s="7" t="s">
        <v>18</v>
      </c>
      <c r="B14" s="8" t="n">
        <v>72100</v>
      </c>
      <c r="C14" s="8" t="n">
        <v>75000</v>
      </c>
      <c r="D14" s="8" t="n">
        <v>49100</v>
      </c>
      <c r="E14" s="8" t="n">
        <f aca="false">B14-D14</f>
        <v>23000</v>
      </c>
      <c r="F14" s="9" t="n">
        <f aca="false">B14/C14</f>
        <v>0.961333333333333</v>
      </c>
      <c r="G14" s="9" t="n">
        <f aca="false">E14/B14</f>
        <v>0.319001386962552</v>
      </c>
    </row>
    <row r="15" customFormat="false" ht="15" hidden="false" customHeight="false" outlineLevel="0" collapsed="false">
      <c r="A15" s="4" t="s">
        <v>19</v>
      </c>
      <c r="B15" s="5" t="n">
        <v>81500</v>
      </c>
      <c r="C15" s="5" t="n">
        <v>80000</v>
      </c>
      <c r="D15" s="5" t="n">
        <v>55500</v>
      </c>
      <c r="E15" s="5" t="n">
        <f aca="false">B15-D15</f>
        <v>26000</v>
      </c>
      <c r="F15" s="6" t="n">
        <f aca="false">B15/C15</f>
        <v>1.01875</v>
      </c>
      <c r="G15" s="6" t="n">
        <f aca="false">E15/B15</f>
        <v>0.319018404907975</v>
      </c>
    </row>
    <row r="16" customFormat="false" ht="15" hidden="false" customHeight="false" outlineLevel="0" collapsed="false">
      <c r="A16" s="7" t="s">
        <v>20</v>
      </c>
      <c r="B16" s="8" t="n">
        <v>95300</v>
      </c>
      <c r="C16" s="8" t="n">
        <v>90000</v>
      </c>
      <c r="D16" s="8" t="n">
        <v>64900</v>
      </c>
      <c r="E16" s="8" t="n">
        <f aca="false">B16-D16</f>
        <v>30400</v>
      </c>
      <c r="F16" s="9" t="n">
        <f aca="false">B16/C16</f>
        <v>1.05888888888889</v>
      </c>
      <c r="G16" s="9" t="n">
        <f aca="false">E16/B16</f>
        <v>0.318992654774397</v>
      </c>
    </row>
    <row r="17" customFormat="false" ht="15" hidden="false" customHeight="false" outlineLevel="0" collapsed="false">
      <c r="A17" s="10" t="s">
        <v>21</v>
      </c>
      <c r="B17" s="11" t="n">
        <f aca="false">SUM(B5:B16)</f>
        <v>735700</v>
      </c>
      <c r="C17" s="11" t="n">
        <f aca="false">SUM(C5:C16)</f>
        <v>745000</v>
      </c>
      <c r="D17" s="11" t="n">
        <f aca="false">SUM(D5:D16)</f>
        <v>500800</v>
      </c>
      <c r="E17" s="11" t="n">
        <f aca="false">SUM(E5:E16)</f>
        <v>234900</v>
      </c>
      <c r="F17" s="12" t="n">
        <f aca="false">SUM(F5:F16)</f>
        <v>11.7747503330003</v>
      </c>
      <c r="G17" s="12" t="n">
        <f aca="false">SUM(G5:G16)</f>
        <v>3.83191804317431</v>
      </c>
    </row>
    <row r="19" customFormat="false" ht="25.5" hidden="false" customHeight="true" outlineLevel="0" collapsed="false">
      <c r="A19" s="13" t="s">
        <v>22</v>
      </c>
      <c r="B19" s="13"/>
      <c r="C19" s="13"/>
      <c r="D19" s="13"/>
      <c r="E19" s="13"/>
      <c r="F19" s="13"/>
      <c r="G19" s="13"/>
    </row>
    <row r="20" customFormat="false" ht="23.85" hidden="false" customHeight="false" outlineLevel="0" collapsed="false">
      <c r="A20" s="4" t="s">
        <v>23</v>
      </c>
      <c r="B20" s="14" t="str">
        <f aca="false">INDEX(A5:A16,MATCH(MAX(B5:B16),B5:B16,0))</f>
        <v>Diciembre</v>
      </c>
      <c r="C20" s="14"/>
      <c r="D20" s="14"/>
      <c r="E20" s="14"/>
      <c r="F20" s="14"/>
      <c r="G20" s="14"/>
    </row>
    <row r="21" customFormat="false" ht="23.85" hidden="false" customHeight="false" outlineLevel="0" collapsed="false">
      <c r="A21" s="4" t="s">
        <v>24</v>
      </c>
      <c r="B21" s="14" t="str">
        <f aca="false">INDEX(A5:A16,MATCH(MIN(B5:B16),B5:B16,0))</f>
        <v>Febrero</v>
      </c>
      <c r="C21" s="14"/>
      <c r="D21" s="14"/>
      <c r="E21" s="14"/>
      <c r="F21" s="14"/>
      <c r="G21" s="14"/>
    </row>
    <row r="22" customFormat="false" ht="23.85" hidden="false" customHeight="false" outlineLevel="0" collapsed="false">
      <c r="A22" s="4" t="s">
        <v>25</v>
      </c>
      <c r="B22" s="15" t="n">
        <f aca="false">AVERAGE(B5:B16)</f>
        <v>61308.3333333333</v>
      </c>
      <c r="C22" s="15"/>
      <c r="D22" s="15"/>
      <c r="E22" s="15"/>
      <c r="F22" s="15"/>
      <c r="G22" s="15"/>
    </row>
    <row r="23" customFormat="false" ht="23.85" hidden="false" customHeight="false" outlineLevel="0" collapsed="false">
      <c r="A23" s="4" t="s">
        <v>26</v>
      </c>
      <c r="B23" s="16" t="n">
        <f aca="false">MAX(F5:F16)</f>
        <v>1.05888888888889</v>
      </c>
      <c r="C23" s="16"/>
      <c r="D23" s="16"/>
      <c r="E23" s="16"/>
      <c r="F23" s="16"/>
      <c r="G23" s="16"/>
    </row>
    <row r="24" customFormat="false" ht="15" hidden="false" customHeight="false" outlineLevel="0" collapsed="false">
      <c r="A24" s="4" t="s">
        <v>27</v>
      </c>
      <c r="B24" s="16" t="n">
        <f aca="false">MAX(G5:G16)</f>
        <v>0.3203125</v>
      </c>
      <c r="C24" s="16"/>
      <c r="D24" s="16"/>
      <c r="E24" s="16"/>
      <c r="F24" s="16"/>
      <c r="G24" s="16"/>
    </row>
  </sheetData>
  <mergeCells count="8">
    <mergeCell ref="A1:G1"/>
    <mergeCell ref="A2:G2"/>
    <mergeCell ref="A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6" min="3" style="0" width="20"/>
  </cols>
  <sheetData>
    <row r="1" customFormat="false" ht="33.75" hidden="false" customHeight="true" outlineLevel="0" collapsed="false">
      <c r="A1" s="17" t="s">
        <v>28</v>
      </c>
      <c r="B1" s="17"/>
      <c r="C1" s="17"/>
      <c r="D1" s="17"/>
      <c r="E1" s="17"/>
      <c r="F1" s="17"/>
    </row>
    <row r="2" customFormat="false" ht="19.5" hidden="false" customHeight="true" outlineLevel="0" collapsed="false">
      <c r="A2" s="18" t="s">
        <v>29</v>
      </c>
      <c r="B2" s="18"/>
      <c r="C2" s="18"/>
      <c r="D2" s="18"/>
      <c r="E2" s="18"/>
      <c r="F2" s="18"/>
    </row>
    <row r="3" customFormat="false" ht="7.5" hidden="false" customHeight="true" outlineLevel="0" collapsed="false"/>
    <row r="4" customFormat="false" ht="25.5" hidden="false" customHeight="true" outlineLevel="0" collapsed="false">
      <c r="A4" s="19" t="s">
        <v>30</v>
      </c>
      <c r="B4" s="19" t="s">
        <v>2</v>
      </c>
      <c r="C4" s="19" t="s">
        <v>3</v>
      </c>
      <c r="D4" s="19" t="s">
        <v>31</v>
      </c>
      <c r="E4" s="19" t="s">
        <v>32</v>
      </c>
      <c r="F4" s="19" t="s">
        <v>33</v>
      </c>
    </row>
    <row r="5" customFormat="false" ht="15" hidden="false" customHeight="false" outlineLevel="0" collapsed="false">
      <c r="A5" s="20" t="n">
        <v>1</v>
      </c>
      <c r="B5" s="21" t="s">
        <v>9</v>
      </c>
      <c r="C5" s="22" t="n">
        <v>42500</v>
      </c>
      <c r="D5" s="20"/>
      <c r="E5" s="20"/>
      <c r="F5" s="20"/>
    </row>
    <row r="6" customFormat="false" ht="15" hidden="false" customHeight="false" outlineLevel="0" collapsed="false">
      <c r="A6" s="23" t="n">
        <v>2</v>
      </c>
      <c r="B6" s="24" t="s">
        <v>10</v>
      </c>
      <c r="C6" s="25" t="n">
        <v>38700</v>
      </c>
      <c r="D6" s="23"/>
      <c r="E6" s="23"/>
      <c r="F6" s="23"/>
    </row>
    <row r="7" customFormat="false" ht="15" hidden="false" customHeight="false" outlineLevel="0" collapsed="false">
      <c r="A7" s="20" t="n">
        <v>3</v>
      </c>
      <c r="B7" s="21" t="s">
        <v>11</v>
      </c>
      <c r="C7" s="22" t="n">
        <v>51200</v>
      </c>
      <c r="D7" s="20"/>
      <c r="E7" s="20"/>
      <c r="F7" s="20"/>
    </row>
    <row r="8" customFormat="false" ht="15" hidden="false" customHeight="false" outlineLevel="0" collapsed="false">
      <c r="A8" s="23" t="n">
        <v>4</v>
      </c>
      <c r="B8" s="24" t="s">
        <v>12</v>
      </c>
      <c r="C8" s="25" t="n">
        <v>47800</v>
      </c>
      <c r="D8" s="23"/>
      <c r="E8" s="23"/>
      <c r="F8" s="23"/>
    </row>
    <row r="9" customFormat="false" ht="15" hidden="false" customHeight="false" outlineLevel="0" collapsed="false">
      <c r="A9" s="20" t="n">
        <v>5</v>
      </c>
      <c r="B9" s="21" t="s">
        <v>13</v>
      </c>
      <c r="C9" s="22" t="n">
        <v>55300</v>
      </c>
      <c r="D9" s="20"/>
      <c r="E9" s="20"/>
      <c r="F9" s="20"/>
    </row>
    <row r="10" customFormat="false" ht="15" hidden="false" customHeight="false" outlineLevel="0" collapsed="false">
      <c r="A10" s="23" t="n">
        <v>6</v>
      </c>
      <c r="B10" s="24" t="s">
        <v>14</v>
      </c>
      <c r="C10" s="25" t="n">
        <v>61400</v>
      </c>
      <c r="D10" s="23"/>
      <c r="E10" s="23"/>
      <c r="F10" s="23"/>
    </row>
    <row r="11" customFormat="false" ht="15" hidden="false" customHeight="false" outlineLevel="0" collapsed="false">
      <c r="A11" s="20" t="n">
        <v>7</v>
      </c>
      <c r="B11" s="21" t="s">
        <v>15</v>
      </c>
      <c r="C11" s="22" t="n">
        <v>58900</v>
      </c>
      <c r="D11" s="20"/>
      <c r="E11" s="20"/>
      <c r="F11" s="20"/>
    </row>
    <row r="12" customFormat="false" ht="15" hidden="false" customHeight="false" outlineLevel="0" collapsed="false">
      <c r="A12" s="23" t="n">
        <v>8</v>
      </c>
      <c r="B12" s="24" t="s">
        <v>16</v>
      </c>
      <c r="C12" s="25" t="n">
        <v>63200</v>
      </c>
      <c r="D12" s="23"/>
      <c r="E12" s="23"/>
      <c r="F12" s="23"/>
    </row>
    <row r="13" customFormat="false" ht="15" hidden="false" customHeight="false" outlineLevel="0" collapsed="false">
      <c r="A13" s="20" t="n">
        <v>9</v>
      </c>
      <c r="B13" s="21" t="s">
        <v>17</v>
      </c>
      <c r="C13" s="22" t="n">
        <v>67800</v>
      </c>
      <c r="D13" s="20"/>
      <c r="E13" s="20"/>
      <c r="F13" s="20"/>
    </row>
    <row r="14" customFormat="false" ht="15" hidden="false" customHeight="false" outlineLevel="0" collapsed="false">
      <c r="A14" s="23" t="n">
        <v>10</v>
      </c>
      <c r="B14" s="24" t="s">
        <v>18</v>
      </c>
      <c r="C14" s="25" t="n">
        <v>72100</v>
      </c>
      <c r="D14" s="23"/>
      <c r="E14" s="23"/>
      <c r="F14" s="23"/>
    </row>
    <row r="15" customFormat="false" ht="15" hidden="false" customHeight="false" outlineLevel="0" collapsed="false">
      <c r="A15" s="20" t="n">
        <v>11</v>
      </c>
      <c r="B15" s="21" t="s">
        <v>19</v>
      </c>
      <c r="C15" s="22" t="n">
        <v>81500</v>
      </c>
      <c r="D15" s="20"/>
      <c r="E15" s="20"/>
      <c r="F15" s="20"/>
    </row>
    <row r="16" customFormat="false" ht="15" hidden="false" customHeight="false" outlineLevel="0" collapsed="false">
      <c r="A16" s="23" t="n">
        <v>12</v>
      </c>
      <c r="B16" s="24" t="s">
        <v>20</v>
      </c>
      <c r="C16" s="25" t="n">
        <v>95300</v>
      </c>
      <c r="D16" s="23"/>
      <c r="E16" s="23"/>
      <c r="F16" s="23"/>
    </row>
    <row r="17" customFormat="false" ht="15" hidden="false" customHeight="false" outlineLevel="0" collapsed="false">
      <c r="A17" s="26" t="n">
        <v>13</v>
      </c>
      <c r="B17" s="27" t="s">
        <v>34</v>
      </c>
      <c r="C17" s="26"/>
      <c r="D17" s="28" t="e">
        <f aca="false">forecast.ets(A17,'Datos de Ventas'!B5:B16,'Datos de Ventas'!A5:A16,1,1)</f>
        <v>#NAME?</v>
      </c>
      <c r="E17" s="29" t="e">
        <f aca="false">forecast.ets.confint(A17,'Datos de Ventas'!B5:B16,'Datos de Ventas'!A5:A16,0.95,1,1)</f>
        <v>#NAME?</v>
      </c>
      <c r="F17" s="29" t="e">
        <f aca="false">D17+E17</f>
        <v>#NAME?</v>
      </c>
    </row>
    <row r="18" customFormat="false" ht="15" hidden="false" customHeight="false" outlineLevel="0" collapsed="false">
      <c r="A18" s="26" t="n">
        <v>14</v>
      </c>
      <c r="B18" s="27" t="s">
        <v>35</v>
      </c>
      <c r="C18" s="26"/>
      <c r="D18" s="28" t="e">
        <f aca="false">forecast.ets(A18,'Datos de Ventas'!B5:B16,'Datos de Ventas'!A5:A16,1,1)</f>
        <v>#NAME?</v>
      </c>
      <c r="E18" s="29" t="e">
        <f aca="false">forecast.ets.confint(A18,'Datos de Ventas'!B5:B16,'Datos de Ventas'!A5:A16,0.95,1,1)</f>
        <v>#NAME?</v>
      </c>
      <c r="F18" s="29" t="e">
        <f aca="false">D18+E18</f>
        <v>#NAME?</v>
      </c>
    </row>
    <row r="19" customFormat="false" ht="15" hidden="false" customHeight="false" outlineLevel="0" collapsed="false">
      <c r="A19" s="26" t="n">
        <v>15</v>
      </c>
      <c r="B19" s="27" t="s">
        <v>36</v>
      </c>
      <c r="C19" s="26"/>
      <c r="D19" s="28" t="e">
        <f aca="false">forecast.ets(A19,'Datos de Ventas'!B5:B16,'Datos de Ventas'!A5:A16,1,1)</f>
        <v>#NAME?</v>
      </c>
      <c r="E19" s="29" t="e">
        <f aca="false">forecast.ets.confint(A19,'Datos de Ventas'!B5:B16,'Datos de Ventas'!A5:A16,0.95,1,1)</f>
        <v>#NAME?</v>
      </c>
      <c r="F19" s="29" t="e">
        <f aca="false">D19+E19</f>
        <v>#NAME?</v>
      </c>
    </row>
    <row r="20" customFormat="false" ht="15" hidden="false" customHeight="false" outlineLevel="0" collapsed="false">
      <c r="A20" s="26" t="n">
        <v>16</v>
      </c>
      <c r="B20" s="27" t="s">
        <v>37</v>
      </c>
      <c r="C20" s="26"/>
      <c r="D20" s="28" t="e">
        <f aca="false">forecast.ets(A20,'Datos de Ventas'!B5:B16,'Datos de Ventas'!A5:A16,1,1)</f>
        <v>#NAME?</v>
      </c>
      <c r="E20" s="29" t="e">
        <f aca="false">forecast.ets.confint(A20,'Datos de Ventas'!B5:B16,'Datos de Ventas'!A5:A16,0.95,1,1)</f>
        <v>#NAME?</v>
      </c>
      <c r="F20" s="29" t="e">
        <f aca="false">D20+E20</f>
        <v>#NAME?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1.5" hidden="false" customHeight="true" outlineLevel="0" collapsed="false">
      <c r="A1" s="30" t="s">
        <v>38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15" hidden="false" customHeight="true" outlineLevel="0" collapsed="false">
      <c r="A2" s="31" t="s">
        <v>39</v>
      </c>
      <c r="B2" s="31"/>
      <c r="C2" s="31"/>
      <c r="D2" s="31"/>
      <c r="E2" s="31"/>
      <c r="F2" s="31"/>
      <c r="G2" s="31"/>
      <c r="H2" s="31"/>
      <c r="I2" s="31"/>
      <c r="J2" s="31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5" min="3" style="0" width="20"/>
  </cols>
  <sheetData>
    <row r="1" customFormat="false" ht="31.5" hidden="false" customHeight="true" outlineLevel="0" collapsed="false">
      <c r="A1" s="17" t="s">
        <v>40</v>
      </c>
      <c r="B1" s="17"/>
      <c r="C1" s="17"/>
      <c r="D1" s="17"/>
      <c r="E1" s="17"/>
    </row>
    <row r="2" customFormat="false" ht="19.5" hidden="false" customHeight="true" outlineLevel="0" collapsed="false">
      <c r="A2" s="32" t="s">
        <v>41</v>
      </c>
      <c r="B2" s="32"/>
      <c r="C2" s="32"/>
      <c r="D2" s="32"/>
      <c r="E2" s="32"/>
    </row>
    <row r="4" customFormat="false" ht="15" hidden="false" customHeight="false" outlineLevel="0" collapsed="false">
      <c r="A4" s="19" t="s">
        <v>42</v>
      </c>
      <c r="B4" s="19" t="s">
        <v>43</v>
      </c>
      <c r="C4" s="19" t="s">
        <v>44</v>
      </c>
      <c r="D4" s="19" t="s">
        <v>45</v>
      </c>
      <c r="E4" s="19" t="s">
        <v>46</v>
      </c>
    </row>
    <row r="5" customFormat="false" ht="15" hidden="false" customHeight="false" outlineLevel="0" collapsed="false">
      <c r="A5" s="33" t="s">
        <v>47</v>
      </c>
      <c r="B5" s="34" t="s">
        <v>48</v>
      </c>
      <c r="C5" s="35" t="n">
        <f aca="false">SUM('Datos de Ventas'!B5:B7)</f>
        <v>132400</v>
      </c>
      <c r="D5" s="35" t="n">
        <f aca="false">SUM('Datos de Ventas'!E5:E7)</f>
        <v>42300</v>
      </c>
      <c r="E5" s="36" t="n">
        <f aca="false">AVERAGE('Datos de Ventas'!G5:G7)</f>
        <v>0.31938065245478</v>
      </c>
    </row>
    <row r="6" customFormat="false" ht="15" hidden="false" customHeight="false" outlineLevel="0" collapsed="false">
      <c r="A6" s="37" t="s">
        <v>49</v>
      </c>
      <c r="B6" s="24" t="s">
        <v>50</v>
      </c>
      <c r="C6" s="25" t="n">
        <f aca="false">SUM('Datos de Ventas'!B8:B10)</f>
        <v>164500</v>
      </c>
      <c r="D6" s="25" t="n">
        <f aca="false">SUM('Datos de Ventas'!E8:E10)</f>
        <v>52600</v>
      </c>
      <c r="E6" s="38" t="n">
        <f aca="false">AVERAGE('Datos de Ventas'!G8:G10)</f>
        <v>0.319791418593758</v>
      </c>
    </row>
    <row r="7" customFormat="false" ht="15" hidden="false" customHeight="false" outlineLevel="0" collapsed="false">
      <c r="A7" s="39" t="s">
        <v>51</v>
      </c>
      <c r="B7" s="40" t="s">
        <v>52</v>
      </c>
      <c r="C7" s="41" t="n">
        <f aca="false">SUM('Datos de Ventas'!B11:B13)</f>
        <v>189900</v>
      </c>
      <c r="D7" s="41" t="n">
        <f aca="false">SUM('Datos de Ventas'!E11:E13)</f>
        <v>60600</v>
      </c>
      <c r="E7" s="42" t="n">
        <f aca="false">AVERAGE('Datos de Ventas'!G11:G13)</f>
        <v>0.319129794461256</v>
      </c>
    </row>
    <row r="8" customFormat="false" ht="15" hidden="false" customHeight="false" outlineLevel="0" collapsed="false">
      <c r="A8" s="43" t="s">
        <v>53</v>
      </c>
      <c r="B8" s="44" t="s">
        <v>54</v>
      </c>
      <c r="C8" s="45" t="n">
        <f aca="false">SUM('Datos de Ventas'!B14:B16)</f>
        <v>248900</v>
      </c>
      <c r="D8" s="45" t="n">
        <f aca="false">SUM('Datos de Ventas'!E14:E16)</f>
        <v>79400</v>
      </c>
      <c r="E8" s="46" t="n">
        <f aca="false">AVERAGE('Datos de Ventas'!G14:G16)</f>
        <v>0.319004148881641</v>
      </c>
    </row>
    <row r="9" customFormat="false" ht="15" hidden="false" customHeight="false" outlineLevel="0" collapsed="false">
      <c r="A9" s="3" t="s">
        <v>55</v>
      </c>
      <c r="B9" s="3" t="s">
        <v>56</v>
      </c>
      <c r="C9" s="47" t="n">
        <f aca="false">SUM(C5:C8)</f>
        <v>735700</v>
      </c>
      <c r="D9" s="47" t="n">
        <f aca="false">SUM(D5:D8)</f>
        <v>234900</v>
      </c>
      <c r="E9" s="48" t="n">
        <f aca="false">AVERAGE(E5:E8)</f>
        <v>0.319326503597859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30"/>
  </cols>
  <sheetData>
    <row r="1" customFormat="false" ht="36" hidden="false" customHeight="true" outlineLevel="0" collapsed="false">
      <c r="A1" s="30" t="s">
        <v>57</v>
      </c>
      <c r="B1" s="30"/>
      <c r="C1" s="30"/>
      <c r="D1" s="30"/>
    </row>
    <row r="3" customFormat="false" ht="27.75" hidden="false" customHeight="true" outlineLevel="0" collapsed="false">
      <c r="A3" s="49" t="s">
        <v>58</v>
      </c>
      <c r="B3" s="50"/>
      <c r="C3" s="50"/>
      <c r="D3" s="50"/>
    </row>
    <row r="4" customFormat="false" ht="18" hidden="false" customHeight="true" outlineLevel="0" collapsed="false">
      <c r="A4" s="51"/>
      <c r="B4" s="52" t="s">
        <v>59</v>
      </c>
      <c r="C4" s="52"/>
      <c r="D4" s="52"/>
    </row>
    <row r="5" customFormat="false" ht="18" hidden="false" customHeight="true" outlineLevel="0" collapsed="false">
      <c r="A5" s="53"/>
      <c r="B5" s="54" t="s">
        <v>60</v>
      </c>
      <c r="C5" s="54"/>
      <c r="D5" s="54"/>
    </row>
    <row r="7" customFormat="false" ht="27.75" hidden="false" customHeight="true" outlineLevel="0" collapsed="false">
      <c r="A7" s="49" t="s">
        <v>61</v>
      </c>
      <c r="B7" s="50"/>
      <c r="C7" s="50"/>
      <c r="D7" s="50"/>
    </row>
    <row r="8" customFormat="false" ht="18" hidden="false" customHeight="true" outlineLevel="0" collapsed="false">
      <c r="A8" s="51"/>
      <c r="B8" s="52" t="s">
        <v>62</v>
      </c>
      <c r="C8" s="52"/>
      <c r="D8" s="52"/>
    </row>
    <row r="9" customFormat="false" ht="18" hidden="false" customHeight="true" outlineLevel="0" collapsed="false">
      <c r="A9" s="53"/>
      <c r="B9" s="54" t="s">
        <v>63</v>
      </c>
      <c r="C9" s="54"/>
      <c r="D9" s="54"/>
    </row>
    <row r="11" customFormat="false" ht="27.75" hidden="false" customHeight="true" outlineLevel="0" collapsed="false">
      <c r="A11" s="49" t="s">
        <v>64</v>
      </c>
      <c r="B11" s="50"/>
      <c r="C11" s="50"/>
      <c r="D11" s="50"/>
    </row>
    <row r="12" customFormat="false" ht="18" hidden="false" customHeight="true" outlineLevel="0" collapsed="false">
      <c r="A12" s="51"/>
      <c r="B12" s="52" t="s">
        <v>65</v>
      </c>
      <c r="C12" s="52"/>
      <c r="D12" s="52"/>
    </row>
    <row r="13" customFormat="false" ht="18" hidden="false" customHeight="true" outlineLevel="0" collapsed="false">
      <c r="A13" s="53"/>
      <c r="B13" s="54" t="s">
        <v>66</v>
      </c>
      <c r="C13" s="54"/>
      <c r="D13" s="54"/>
    </row>
    <row r="14" customFormat="false" ht="18" hidden="false" customHeight="true" outlineLevel="0" collapsed="false">
      <c r="A14" s="51"/>
      <c r="B14" s="52" t="s">
        <v>67</v>
      </c>
      <c r="C14" s="52"/>
      <c r="D14" s="52"/>
    </row>
    <row r="16" customFormat="false" ht="27.75" hidden="false" customHeight="true" outlineLevel="0" collapsed="false">
      <c r="A16" s="49" t="s">
        <v>68</v>
      </c>
      <c r="B16" s="50"/>
      <c r="C16" s="50"/>
      <c r="D16" s="50"/>
    </row>
    <row r="17" customFormat="false" ht="18" hidden="false" customHeight="true" outlineLevel="0" collapsed="false">
      <c r="A17" s="51"/>
      <c r="B17" s="52" t="s">
        <v>69</v>
      </c>
      <c r="C17" s="52"/>
      <c r="D17" s="52"/>
    </row>
    <row r="18" customFormat="false" ht="18" hidden="false" customHeight="true" outlineLevel="0" collapsed="false">
      <c r="A18" s="53"/>
      <c r="B18" s="54" t="s">
        <v>70</v>
      </c>
      <c r="C18" s="54"/>
      <c r="D18" s="54"/>
    </row>
    <row r="19" customFormat="false" ht="18" hidden="false" customHeight="true" outlineLevel="0" collapsed="false">
      <c r="A19" s="51"/>
      <c r="B19" s="52" t="s">
        <v>71</v>
      </c>
      <c r="C19" s="52"/>
      <c r="D19" s="52"/>
    </row>
    <row r="20" customFormat="false" ht="18" hidden="false" customHeight="true" outlineLevel="0" collapsed="false">
      <c r="A20" s="53"/>
      <c r="B20" s="54" t="s">
        <v>72</v>
      </c>
      <c r="C20" s="54"/>
      <c r="D20" s="54"/>
    </row>
    <row r="21" customFormat="false" ht="18" hidden="false" customHeight="true" outlineLevel="0" collapsed="false">
      <c r="A21" s="51"/>
      <c r="B21" s="52" t="s">
        <v>73</v>
      </c>
      <c r="C21" s="52"/>
      <c r="D21" s="52"/>
    </row>
    <row r="23" customFormat="false" ht="27.75" hidden="false" customHeight="true" outlineLevel="0" collapsed="false">
      <c r="A23" s="49" t="s">
        <v>74</v>
      </c>
      <c r="B23" s="50"/>
      <c r="C23" s="50"/>
      <c r="D23" s="50"/>
    </row>
    <row r="24" customFormat="false" ht="18" hidden="false" customHeight="true" outlineLevel="0" collapsed="false">
      <c r="A24" s="51"/>
      <c r="B24" s="52" t="s">
        <v>75</v>
      </c>
      <c r="C24" s="52"/>
      <c r="D24" s="52"/>
    </row>
    <row r="25" customFormat="false" ht="18" hidden="false" customHeight="true" outlineLevel="0" collapsed="false">
      <c r="A25" s="53"/>
      <c r="B25" s="54" t="s">
        <v>76</v>
      </c>
      <c r="C25" s="54"/>
      <c r="D25" s="54"/>
    </row>
    <row r="26" customFormat="false" ht="18" hidden="false" customHeight="true" outlineLevel="0" collapsed="false">
      <c r="A26" s="51"/>
      <c r="B26" s="52" t="s">
        <v>77</v>
      </c>
      <c r="C26" s="52"/>
      <c r="D26" s="52"/>
    </row>
    <row r="27" customFormat="false" ht="18" hidden="false" customHeight="true" outlineLevel="0" collapsed="false">
      <c r="A27" s="53"/>
      <c r="B27" s="54" t="s">
        <v>78</v>
      </c>
      <c r="C27" s="54"/>
      <c r="D27" s="54"/>
    </row>
    <row r="29" customFormat="false" ht="27.75" hidden="false" customHeight="true" outlineLevel="0" collapsed="false">
      <c r="A29" s="49" t="s">
        <v>79</v>
      </c>
      <c r="B29" s="50"/>
      <c r="C29" s="50"/>
      <c r="D29" s="50"/>
    </row>
    <row r="30" customFormat="false" ht="18" hidden="false" customHeight="true" outlineLevel="0" collapsed="false">
      <c r="A30" s="51"/>
      <c r="B30" s="52" t="s">
        <v>80</v>
      </c>
      <c r="C30" s="52"/>
      <c r="D30" s="52"/>
    </row>
    <row r="31" customFormat="false" ht="18" hidden="false" customHeight="true" outlineLevel="0" collapsed="false">
      <c r="A31" s="53"/>
      <c r="B31" s="54" t="s">
        <v>81</v>
      </c>
      <c r="C31" s="54"/>
      <c r="D31" s="54"/>
    </row>
    <row r="32" customFormat="false" ht="18" hidden="false" customHeight="true" outlineLevel="0" collapsed="false">
      <c r="A32" s="51"/>
      <c r="B32" s="52" t="s">
        <v>82</v>
      </c>
      <c r="C32" s="52"/>
      <c r="D32" s="52"/>
    </row>
    <row r="33" customFormat="false" ht="18" hidden="false" customHeight="true" outlineLevel="0" collapsed="false">
      <c r="A33" s="53"/>
      <c r="B33" s="54" t="s">
        <v>83</v>
      </c>
      <c r="C33" s="54"/>
      <c r="D33" s="54"/>
    </row>
    <row r="34" customFormat="false" ht="18" hidden="false" customHeight="true" outlineLevel="0" collapsed="false">
      <c r="A34" s="51"/>
      <c r="B34" s="52" t="s">
        <v>84</v>
      </c>
      <c r="C34" s="52"/>
      <c r="D34" s="52"/>
    </row>
    <row r="35" customFormat="false" ht="18" hidden="false" customHeight="true" outlineLevel="0" collapsed="false">
      <c r="A35" s="53"/>
      <c r="B35" s="54" t="s">
        <v>85</v>
      </c>
      <c r="C35" s="54"/>
      <c r="D35" s="54"/>
    </row>
    <row r="37" customFormat="false" ht="27.75" hidden="false" customHeight="true" outlineLevel="0" collapsed="false">
      <c r="A37" s="49" t="s">
        <v>86</v>
      </c>
      <c r="B37" s="50"/>
      <c r="C37" s="50"/>
      <c r="D37" s="50"/>
    </row>
    <row r="38" customFormat="false" ht="18" hidden="false" customHeight="true" outlineLevel="0" collapsed="false">
      <c r="A38" s="51"/>
      <c r="B38" s="52" t="s">
        <v>87</v>
      </c>
      <c r="C38" s="52"/>
      <c r="D38" s="52"/>
    </row>
    <row r="39" customFormat="false" ht="18" hidden="false" customHeight="true" outlineLevel="0" collapsed="false">
      <c r="A39" s="53"/>
      <c r="B39" s="54" t="s">
        <v>88</v>
      </c>
      <c r="C39" s="54"/>
      <c r="D39" s="54"/>
    </row>
    <row r="40" customFormat="false" ht="18" hidden="false" customHeight="true" outlineLevel="0" collapsed="false">
      <c r="A40" s="51"/>
      <c r="B40" s="52" t="s">
        <v>89</v>
      </c>
      <c r="C40" s="52"/>
      <c r="D40" s="52"/>
    </row>
    <row r="41" customFormat="false" ht="18" hidden="false" customHeight="true" outlineLevel="0" collapsed="false">
      <c r="A41" s="53"/>
      <c r="B41" s="54" t="s">
        <v>90</v>
      </c>
      <c r="C41" s="54"/>
      <c r="D41" s="54"/>
    </row>
    <row r="42" customFormat="false" ht="18" hidden="false" customHeight="true" outlineLevel="0" collapsed="false">
      <c r="A42" s="51"/>
      <c r="B42" s="52" t="s">
        <v>91</v>
      </c>
      <c r="C42" s="52"/>
      <c r="D42" s="52"/>
    </row>
  </sheetData>
  <mergeCells count="35">
    <mergeCell ref="A1:D1"/>
    <mergeCell ref="B3:D3"/>
    <mergeCell ref="B4:D4"/>
    <mergeCell ref="B5:D5"/>
    <mergeCell ref="B7:D7"/>
    <mergeCell ref="B8:D8"/>
    <mergeCell ref="B9:D9"/>
    <mergeCell ref="B11:D11"/>
    <mergeCell ref="B12:D12"/>
    <mergeCell ref="B13:D13"/>
    <mergeCell ref="B14:D14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2026-05-23T03:03:45Z</dcterms:created>
  <dc:creator>openpyxl</dc:creator>
  <dc:description/>
  <dc:language>en-US</dc:language>
  <cp:lastModifiedBy/>
  <dcterms:modified xsi:type="dcterms:W3CDTF">2026-05-23T03:03:52Z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